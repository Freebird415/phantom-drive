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记录表" sheetId="2" state="visible" r:id="rId2"/>
    <sheet xmlns:r="http://schemas.openxmlformats.org/officeDocument/2006/relationships" name="手工量" sheetId="3" state="visible" r:id="rId3"/>
    <sheet xmlns:r="http://schemas.openxmlformats.org/officeDocument/2006/relationships" name="结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3"/>
    </font>
    <font>
      <name val="微软雅黑"/>
      <b val="1"/>
      <color rgb="001F3864"/>
      <sz val="10"/>
    </font>
    <font>
      <name val="微软雅黑"/>
      <sz val="10"/>
    </font>
    <font>
      <name val="微软雅黑"/>
      <color rgb="007F7F7F"/>
      <sz val="10"/>
    </font>
    <font>
      <name val="微软雅黑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AF6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 ht="26" customHeight="1">
      <c r="A1" s="1" t="inlineStr">
        <is>
          <t>15° 探头几何标测 · 现场说明（毕烨恺 · 一人可独立完成）</t>
        </is>
      </c>
    </row>
    <row r="3">
      <c r="A3" s="2" t="inlineStr">
        <is>
          <t>0. 一句话</t>
        </is>
      </c>
    </row>
    <row r="4" ht="30" customHeight="1">
      <c r="A4" s="3" t="inlineStr">
        <is>
          <t>·</t>
        </is>
      </c>
      <c r="B4" s="4" t="inlineStr">
        <is>
          <t>把 A02 现在用的『名义探头几何』换成实测值。车不动、障碍物放好就不动 ⇒ 直接在蓝牙面板上读数字、抄进『记录表』即可，不用开日志。</t>
        </is>
      </c>
    </row>
    <row r="5" ht="30" customHeight="1">
      <c r="A5" s="3" t="inlineStr">
        <is>
          <t>·</t>
        </is>
      </c>
      <c r="B5" s="4" t="inlineStr">
        <is>
          <t>要得到 4 个数：①左右探头首次看到障碍的距离 ②最近能测到多近 ③正前/侧向覆盖（有没有盲区）④探头前端 → 车最前端的偏移。</t>
        </is>
      </c>
    </row>
    <row r="6" ht="30" customHeight="1">
      <c r="A6" s="3" t="inlineStr">
        <is>
          <t>·</t>
        </is>
      </c>
      <c r="B6" s="4" t="inlineStr">
        <is>
          <t>时间：必做（第 1、3、4、6、7、8 组）约 15 分钟；第 2、5、9 组各 +2 分钟；共约 20 分钟。</t>
        </is>
      </c>
    </row>
    <row r="8">
      <c r="A8" s="2" t="inlineStr">
        <is>
          <t>1. 准备</t>
        </is>
      </c>
    </row>
    <row r="9" ht="16" customHeight="1">
      <c r="A9" s="3" t="inlineStr">
        <is>
          <t>·</t>
        </is>
      </c>
      <c r="B9" s="4" t="inlineStr">
        <is>
          <t>① 车静置在直线段上（桌面或赛道直线都行），车头朝前，全程别碰车；上电，3V3 ≈ 3.3V。</t>
        </is>
      </c>
    </row>
    <row r="10" ht="30" customHeight="1">
      <c r="A10" s="3" t="inlineStr">
        <is>
          <t>·</t>
        </is>
      </c>
      <c r="B10" s="4" t="inlineStr">
        <is>
          <t>② 电脑双击「蓝牙日志.bat」→ 等状态栏显示「蓝牙已连接」+ 有帧率（本轮不点开始接收、不用监测）。</t>
        </is>
      </c>
    </row>
    <row r="11" ht="16" customHeight="1">
      <c r="A11" s="3" t="inlineStr">
        <is>
          <t>·</t>
        </is>
      </c>
      <c r="B11" s="4" t="inlineStr">
        <is>
          <t>③ 卷尺沿车头方向铺开，0 刻度对齐『车最前端』，铺好之后别再碰。</t>
        </is>
      </c>
    </row>
    <row r="12" ht="30" customHeight="1">
      <c r="A12" s="3" t="inlineStr">
        <is>
          <t>·</t>
        </is>
      </c>
      <c r="B12" s="4" t="inlineStr">
        <is>
          <t>④ 障碍物：60×60×150（阿凡提）与 150×100×150（莫高窟）；没实物就用立起来的厚书（实心、够高）。</t>
        </is>
      </c>
    </row>
    <row r="13" ht="16" customHeight="1">
      <c r="A13" s="3" t="inlineStr">
        <is>
          <t>·</t>
        </is>
      </c>
      <c r="B13" s="4" t="inlineStr">
        <is>
          <t>⑤ 笔记本放在能看见、又不挡探头的位置：摆好障碍物后人是回到电脑前读数的（障碍物不动，读数不会跑）。</t>
        </is>
      </c>
    </row>
    <row r="14" ht="16" customHeight="1">
      <c r="A14" s="3" t="inlineStr">
        <is>
          <t>·</t>
        </is>
      </c>
      <c r="B14" s="4" t="inlineStr">
        <is>
          <t>⑥ 左右定义：沿车前进方向看，左手边 = 左探头那侧。</t>
        </is>
      </c>
    </row>
    <row r="16">
      <c r="A16" s="2" t="inlineStr">
        <is>
          <t>2. 每个点位的动作（4 步，所有行都一样）</t>
        </is>
      </c>
    </row>
    <row r="17" ht="30" customHeight="1">
      <c r="A17" s="3" t="inlineStr">
        <is>
          <t>·</t>
        </is>
      </c>
      <c r="B17" s="4" t="inlineStr">
        <is>
          <t>① 按表格的 X（从车最前端量）摆好障碍物 → ② 等 2 秒 → ③ 读一次，记『左①/右①』→ ④ 再等 2 秒 → 读一次，记『左②/右②』。</t>
        </is>
      </c>
    </row>
    <row r="18" ht="30" customHeight="1">
      <c r="A18" s="3" t="inlineStr">
        <is>
          <t>·</t>
        </is>
      </c>
      <c r="B18" s="4" t="inlineStr">
        <is>
          <t>⚠️ 面板走蓝牙（约每秒 2~4 次刷新）⇒ 不等到 2 秒就会读到上一个位置的值。两个数不一样时把差值写进备注，以 ② 为准。</t>
        </is>
      </c>
    </row>
    <row r="19" ht="30" customHeight="1">
      <c r="A19" s="3" t="inlineStr">
        <is>
          <t>·</t>
        </is>
      </c>
      <c r="B19" s="4" t="inlineStr">
        <is>
          <t>⚠️ 没有数字就照实写：-1 / -2（没测到，正常）· -5（太近或太远）· -6（被限流跳过，正常）。不要写 0，也不要留空。</t>
        </is>
      </c>
    </row>
    <row r="20" ht="16" customHeight="1">
      <c r="A20" s="3" t="inlineStr">
        <is>
          <t>·</t>
        </is>
      </c>
      <c r="B20" s="4" t="inlineStr">
        <is>
          <t>⚠️ 从远往近摆（表格已按这个顺序排好）：万一某次没刷新，数值会偏大偏远，一眼能看出来。</t>
        </is>
      </c>
    </row>
    <row r="22">
      <c r="A22" s="2" t="inlineStr">
        <is>
          <t>3. 怎么算『看见了』</t>
        </is>
      </c>
    </row>
    <row r="23" ht="16" customHeight="1">
      <c r="A23" s="3" t="inlineStr">
        <is>
          <t>·</t>
        </is>
      </c>
      <c r="B23" s="4" t="inlineStr">
        <is>
          <t>右侧数值里出现有效距离（正数，且与卷尺刻度大致对得上）= 右探头看见它了；左侧同理。</t>
        </is>
      </c>
    </row>
    <row r="24" ht="16" customHeight="1">
      <c r="A24" s="3" t="inlineStr">
        <is>
          <t>·</t>
        </is>
      </c>
      <c r="B24" s="4" t="inlineStr">
        <is>
          <t>同一行左右都出现数字 ⇒ 两颗都看见了（通常先出现靠障碍物那一侧的那颗）。</t>
        </is>
      </c>
    </row>
    <row r="26">
      <c r="A26" s="2" t="inlineStr">
        <is>
          <t>4. 出错 / 漏了怎么办（这一节就是表格的容错设计，不用怕）</t>
        </is>
      </c>
    </row>
    <row r="27" ht="16" customHeight="1">
      <c r="A27" s="3" t="inlineStr">
        <is>
          <t>·</t>
        </is>
      </c>
      <c r="B27" s="4" t="inlineStr">
        <is>
          <t>抄错一个数：回到那个位置重读两遍，覆盖原格。</t>
        </is>
      </c>
    </row>
    <row r="28" ht="16" customHeight="1">
      <c r="A28" s="3" t="inlineStr">
        <is>
          <t>·</t>
        </is>
      </c>
      <c r="B28" s="4" t="inlineStr">
        <is>
          <t>某一组整组没做或做废：跳过即可，备注写『废』——左右互为镜像、大小障碍是两条曲线，我会用其余组兜住。</t>
        </is>
      </c>
    </row>
    <row r="29" ht="30" customHeight="1">
      <c r="A29" s="3" t="inlineStr">
        <is>
          <t>·</t>
        </is>
      </c>
      <c r="B29" s="4" t="inlineStr">
        <is>
          <t>时间不够：优先做带 ⭐ 的组（第 1、3、4、6、7、8 组）；第 2、5、9 组是加精度/抽查，可以不做。</t>
        </is>
      </c>
    </row>
    <row r="31">
      <c r="A31" s="2" t="inlineStr">
        <is>
          <t>5. 做完怎么给组长</t>
        </is>
      </c>
    </row>
    <row r="32" ht="16" customHeight="1">
      <c r="A32" s="3" t="inlineStr">
        <is>
          <t>·</t>
        </is>
      </c>
      <c r="B32" s="4" t="inlineStr">
        <is>
          <t>把这个 xlsx 直接发微信给组长即可（不用 git、不用打包日志）。</t>
        </is>
      </c>
    </row>
    <row r="33" ht="30" customHeight="1">
      <c r="A33" s="3" t="inlineStr">
        <is>
          <t>·</t>
        </is>
      </c>
      <c r="B33" s="5" t="inlineStr">
        <is>
          <t>可选：每个组开工拍一张照片（车 + 障碍物 + 卷尺刻度同框），文件名用组号（如 A1.jpg）—— 万一哪行抄错，照片能救。</t>
        </is>
      </c>
    </row>
    <row r="34" ht="30" customHeight="1">
      <c r="A34" s="3" t="inlineStr">
        <is>
          <t>·</t>
        </is>
      </c>
      <c r="B34" s="5" t="inlineStr">
        <is>
          <t>可选（想留原始证据）：把『第 7 组 Y=0 正前中央』和『第 1 组首次出数字那点』各开一条 10 秒日志留档。</t>
        </is>
      </c>
    </row>
    <row r="36">
      <c r="A36" s="2" t="inlineStr">
        <is>
          <t>6. 表格怎么读</t>
        </is>
      </c>
    </row>
    <row r="37" ht="16" customHeight="1">
      <c r="A37" s="3" t="inlineStr">
        <is>
          <t>·</t>
        </is>
      </c>
      <c r="B37" s="4" t="inlineStr">
        <is>
          <t>「记录表」：黄色格子 = 要你填；每组有一行分组说明（组内顺序别跳）。</t>
        </is>
      </c>
    </row>
    <row r="38" ht="16" customHeight="1">
      <c r="A38" s="3" t="inlineStr">
        <is>
          <t>·</t>
        </is>
      </c>
      <c r="B38" s="4" t="inlineStr">
        <is>
          <t>「手工量」：卷尺量 3 个数，顺手填了（不填也能从记录表反算）。</t>
        </is>
      </c>
    </row>
    <row r="39" ht="16" customHeight="1">
      <c r="A39" s="3" t="inlineStr">
        <is>
          <t>·</t>
        </is>
      </c>
      <c r="B39" s="4" t="inlineStr">
        <is>
          <t>「结论」：不用管，组长/AI 填。</t>
        </is>
      </c>
    </row>
  </sheetData>
  <mergeCells count="8">
    <mergeCell ref="A26:B26"/>
    <mergeCell ref="A31:B31"/>
    <mergeCell ref="A16:B16"/>
    <mergeCell ref="A36:B36"/>
    <mergeCell ref="A1:B1"/>
    <mergeCell ref="A8:B8"/>
    <mergeCell ref="A3:B3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" customWidth="1" min="3" max="3"/>
    <col width="13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30" customWidth="1" min="10" max="10"/>
    <col width="8" customWidth="1" min="11" max="11"/>
  </cols>
  <sheetData>
    <row r="1" ht="26" customHeight="1">
      <c r="A1" s="1" t="inlineStr">
        <is>
          <t>15° 探头几何标测 · 记录表（黄色格子要填；每个点位读两次，中间等 2 秒）</t>
        </is>
      </c>
    </row>
    <row r="2" ht="34" customHeight="1">
      <c r="A2" s="6" t="inlineStr">
        <is>
          <t>序</t>
        </is>
      </c>
      <c r="B2" s="6" t="inlineStr">
        <is>
          <t>障碍物</t>
        </is>
      </c>
      <c r="C2" s="6" t="inlineStr">
        <is>
          <t>侧</t>
        </is>
      </c>
      <c r="D2" s="6" t="inlineStr">
        <is>
          <t>位置 X
(mm，从车最前端)</t>
        </is>
      </c>
      <c r="E2" s="6" t="inlineStr">
        <is>
          <t>横向 Y
(内边/中心，mm)</t>
        </is>
      </c>
      <c r="F2" s="6" t="inlineStr">
        <is>
          <t>左 读数①
(mm)</t>
        </is>
      </c>
      <c r="G2" s="6" t="inlineStr">
        <is>
          <t>右 读数①
(mm)</t>
        </is>
      </c>
      <c r="H2" s="6" t="inlineStr">
        <is>
          <t>左 读数②
(mm)</t>
        </is>
      </c>
      <c r="I2" s="6" t="inlineStr">
        <is>
          <t>右 读数②
(mm)</t>
        </is>
      </c>
      <c r="J2" s="6" t="inlineStr">
        <is>
          <t>备注（跳动 / 无(-1) / 无(-2) / 废）</t>
        </is>
      </c>
      <c r="K2" s="6" t="inlineStr">
        <is>
          <t>照片#</t>
        </is>
      </c>
    </row>
    <row r="3" ht="20" customHeight="1">
      <c r="A3" s="7" t="inlineStr">
        <is>
          <t>第 1 组 ⭐ 右侧 · 小障碍 · 贴线边 · 从远往近（必做，先做这组）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</row>
    <row r="4">
      <c r="A4" s="9" t="n">
        <v>1</v>
      </c>
      <c r="B4" s="10" t="inlineStr">
        <is>
          <t>小障碍 60×60×150（阿凡提）</t>
        </is>
      </c>
      <c r="C4" s="9" t="inlineStr">
        <is>
          <t>右侧</t>
        </is>
      </c>
      <c r="D4" s="9" t="n">
        <v>1200</v>
      </c>
      <c r="E4" s="9" t="inlineStr">
        <is>
          <t>10（内边）</t>
        </is>
      </c>
      <c r="F4" s="11" t="n"/>
      <c r="G4" s="11" t="n"/>
      <c r="H4" s="11" t="n"/>
      <c r="I4" s="11" t="n"/>
      <c r="J4" s="12" t="n"/>
      <c r="K4" s="11" t="n"/>
    </row>
    <row r="5">
      <c r="A5" s="9" t="n">
        <v>2</v>
      </c>
      <c r="B5" s="10" t="inlineStr">
        <is>
          <t>小障碍 60×60×150（阿凡提）</t>
        </is>
      </c>
      <c r="C5" s="9" t="inlineStr">
        <is>
          <t>右侧</t>
        </is>
      </c>
      <c r="D5" s="9" t="n">
        <v>1100</v>
      </c>
      <c r="E5" s="9" t="inlineStr">
        <is>
          <t>10（内边）</t>
        </is>
      </c>
      <c r="F5" s="11" t="n"/>
      <c r="G5" s="11" t="n"/>
      <c r="H5" s="11" t="n"/>
      <c r="I5" s="11" t="n"/>
      <c r="J5" s="12" t="n"/>
      <c r="K5" s="11" t="n"/>
    </row>
    <row r="6">
      <c r="A6" s="9" t="n">
        <v>3</v>
      </c>
      <c r="B6" s="10" t="inlineStr">
        <is>
          <t>小障碍 60×60×150（阿凡提）</t>
        </is>
      </c>
      <c r="C6" s="9" t="inlineStr">
        <is>
          <t>右侧</t>
        </is>
      </c>
      <c r="D6" s="9" t="n">
        <v>1000</v>
      </c>
      <c r="E6" s="9" t="inlineStr">
        <is>
          <t>10（内边）</t>
        </is>
      </c>
      <c r="F6" s="11" t="n"/>
      <c r="G6" s="11" t="n"/>
      <c r="H6" s="11" t="n"/>
      <c r="I6" s="11" t="n"/>
      <c r="J6" s="12" t="n"/>
      <c r="K6" s="11" t="n"/>
    </row>
    <row r="7">
      <c r="A7" s="9" t="n">
        <v>4</v>
      </c>
      <c r="B7" s="10" t="inlineStr">
        <is>
          <t>小障碍 60×60×150（阿凡提）</t>
        </is>
      </c>
      <c r="C7" s="9" t="inlineStr">
        <is>
          <t>右侧</t>
        </is>
      </c>
      <c r="D7" s="9" t="n">
        <v>900</v>
      </c>
      <c r="E7" s="9" t="inlineStr">
        <is>
          <t>10（内边）</t>
        </is>
      </c>
      <c r="F7" s="11" t="n"/>
      <c r="G7" s="11" t="n"/>
      <c r="H7" s="11" t="n"/>
      <c r="I7" s="11" t="n"/>
      <c r="J7" s="12" t="n"/>
      <c r="K7" s="11" t="n"/>
    </row>
    <row r="8">
      <c r="A8" s="9" t="n">
        <v>5</v>
      </c>
      <c r="B8" s="10" t="inlineStr">
        <is>
          <t>小障碍 60×60×150（阿凡提）</t>
        </is>
      </c>
      <c r="C8" s="9" t="inlineStr">
        <is>
          <t>右侧</t>
        </is>
      </c>
      <c r="D8" s="9" t="n">
        <v>800</v>
      </c>
      <c r="E8" s="9" t="inlineStr">
        <is>
          <t>10（内边）</t>
        </is>
      </c>
      <c r="F8" s="11" t="n"/>
      <c r="G8" s="11" t="n"/>
      <c r="H8" s="11" t="n"/>
      <c r="I8" s="11" t="n"/>
      <c r="J8" s="12" t="n"/>
      <c r="K8" s="11" t="n"/>
    </row>
    <row r="9">
      <c r="A9" s="13" t="n">
        <v>6</v>
      </c>
      <c r="B9" s="14" t="inlineStr">
        <is>
          <t>小障碍 60×60×150（阿凡提）</t>
        </is>
      </c>
      <c r="C9" s="13" t="inlineStr">
        <is>
          <t>右侧</t>
        </is>
      </c>
      <c r="D9" s="13" t="n">
        <v>700</v>
      </c>
      <c r="E9" s="13" t="inlineStr">
        <is>
          <t>10（内边）</t>
        </is>
      </c>
      <c r="F9" s="11" t="n"/>
      <c r="G9" s="11" t="n"/>
      <c r="H9" s="11" t="n"/>
      <c r="I9" s="11" t="n"/>
      <c r="J9" s="12" t="n"/>
      <c r="K9" s="11" t="n"/>
    </row>
    <row r="10">
      <c r="A10" s="13" t="n">
        <v>7</v>
      </c>
      <c r="B10" s="14" t="inlineStr">
        <is>
          <t>小障碍 60×60×150（阿凡提）</t>
        </is>
      </c>
      <c r="C10" s="13" t="inlineStr">
        <is>
          <t>右侧</t>
        </is>
      </c>
      <c r="D10" s="13" t="n">
        <v>600</v>
      </c>
      <c r="E10" s="13" t="inlineStr">
        <is>
          <t>10（内边）</t>
        </is>
      </c>
      <c r="F10" s="11" t="n"/>
      <c r="G10" s="11" t="n"/>
      <c r="H10" s="11" t="n"/>
      <c r="I10" s="11" t="n"/>
      <c r="J10" s="12" t="n"/>
      <c r="K10" s="11" t="n"/>
    </row>
    <row r="11">
      <c r="A11" s="13" t="n">
        <v>8</v>
      </c>
      <c r="B11" s="14" t="inlineStr">
        <is>
          <t>小障碍 60×60×150（阿凡提）</t>
        </is>
      </c>
      <c r="C11" s="13" t="inlineStr">
        <is>
          <t>右侧</t>
        </is>
      </c>
      <c r="D11" s="13" t="n">
        <v>500</v>
      </c>
      <c r="E11" s="13" t="inlineStr">
        <is>
          <t>10（内边）</t>
        </is>
      </c>
      <c r="F11" s="11" t="n"/>
      <c r="G11" s="11" t="n"/>
      <c r="H11" s="11" t="n"/>
      <c r="I11" s="11" t="n"/>
      <c r="J11" s="12" t="n"/>
      <c r="K11" s="11" t="n"/>
    </row>
    <row r="12">
      <c r="A12" s="9" t="n">
        <v>9</v>
      </c>
      <c r="B12" s="10" t="inlineStr">
        <is>
          <t>小障碍 60×60×150（阿凡提）</t>
        </is>
      </c>
      <c r="C12" s="9" t="inlineStr">
        <is>
          <t>右侧</t>
        </is>
      </c>
      <c r="D12" s="9" t="n">
        <v>450</v>
      </c>
      <c r="E12" s="9" t="inlineStr">
        <is>
          <t>10（内边）</t>
        </is>
      </c>
      <c r="F12" s="11" t="n"/>
      <c r="G12" s="11" t="n"/>
      <c r="H12" s="11" t="n"/>
      <c r="I12" s="11" t="n"/>
      <c r="J12" s="12" t="n"/>
      <c r="K12" s="11" t="n"/>
    </row>
    <row r="13">
      <c r="A13" s="13" t="n">
        <v>10</v>
      </c>
      <c r="B13" s="14" t="inlineStr">
        <is>
          <t>小障碍 60×60×150（阿凡提）</t>
        </is>
      </c>
      <c r="C13" s="13" t="inlineStr">
        <is>
          <t>右侧</t>
        </is>
      </c>
      <c r="D13" s="13" t="n">
        <v>400</v>
      </c>
      <c r="E13" s="13" t="inlineStr">
        <is>
          <t>10（内边）</t>
        </is>
      </c>
      <c r="F13" s="11" t="n"/>
      <c r="G13" s="11" t="n"/>
      <c r="H13" s="11" t="n"/>
      <c r="I13" s="11" t="n"/>
      <c r="J13" s="12" t="n"/>
      <c r="K13" s="11" t="n"/>
    </row>
    <row r="14">
      <c r="A14" s="9" t="n">
        <v>11</v>
      </c>
      <c r="B14" s="10" t="inlineStr">
        <is>
          <t>小障碍 60×60×150（阿凡提）</t>
        </is>
      </c>
      <c r="C14" s="9" t="inlineStr">
        <is>
          <t>右侧</t>
        </is>
      </c>
      <c r="D14" s="9" t="n">
        <v>350</v>
      </c>
      <c r="E14" s="9" t="inlineStr">
        <is>
          <t>10（内边）</t>
        </is>
      </c>
      <c r="F14" s="11" t="n"/>
      <c r="G14" s="11" t="n"/>
      <c r="H14" s="11" t="n"/>
      <c r="I14" s="11" t="n"/>
      <c r="J14" s="12" t="n"/>
      <c r="K14" s="11" t="n"/>
    </row>
    <row r="15">
      <c r="A15" s="9" t="n">
        <v>12</v>
      </c>
      <c r="B15" s="10" t="inlineStr">
        <is>
          <t>小障碍 60×60×150（阿凡提）</t>
        </is>
      </c>
      <c r="C15" s="9" t="inlineStr">
        <is>
          <t>右侧</t>
        </is>
      </c>
      <c r="D15" s="9" t="n">
        <v>300</v>
      </c>
      <c r="E15" s="9" t="inlineStr">
        <is>
          <t>10（内边）</t>
        </is>
      </c>
      <c r="F15" s="11" t="n"/>
      <c r="G15" s="11" t="n"/>
      <c r="H15" s="11" t="n"/>
      <c r="I15" s="11" t="n"/>
      <c r="J15" s="12" t="n"/>
      <c r="K15" s="11" t="n"/>
    </row>
    <row r="16">
      <c r="A16" s="9" t="n">
        <v>13</v>
      </c>
      <c r="B16" s="10" t="inlineStr">
        <is>
          <t>小障碍 60×60×150（阿凡提）</t>
        </is>
      </c>
      <c r="C16" s="9" t="inlineStr">
        <is>
          <t>右侧</t>
        </is>
      </c>
      <c r="D16" s="9" t="n">
        <v>250</v>
      </c>
      <c r="E16" s="9" t="inlineStr">
        <is>
          <t>10（内边）</t>
        </is>
      </c>
      <c r="F16" s="11" t="n"/>
      <c r="G16" s="11" t="n"/>
      <c r="H16" s="11" t="n"/>
      <c r="I16" s="11" t="n"/>
      <c r="J16" s="12" t="n"/>
      <c r="K16" s="11" t="n"/>
    </row>
    <row r="17">
      <c r="A17" s="9" t="n">
        <v>14</v>
      </c>
      <c r="B17" s="10" t="inlineStr">
        <is>
          <t>小障碍 60×60×150（阿凡提）</t>
        </is>
      </c>
      <c r="C17" s="9" t="inlineStr">
        <is>
          <t>右侧</t>
        </is>
      </c>
      <c r="D17" s="9" t="n">
        <v>200</v>
      </c>
      <c r="E17" s="9" t="inlineStr">
        <is>
          <t>10（内边）</t>
        </is>
      </c>
      <c r="F17" s="11" t="n"/>
      <c r="G17" s="11" t="n"/>
      <c r="H17" s="11" t="n"/>
      <c r="I17" s="11" t="n"/>
      <c r="J17" s="12" t="n"/>
      <c r="K17" s="11" t="n"/>
    </row>
    <row r="18" ht="20" customHeight="1">
      <c r="A18" s="7" t="inlineStr">
        <is>
          <t>第 2 组 ⭐ 右侧 · 小障碍 · 细扫（做完第 1 组再回来：X 抄第 1 组『首次出数字』附近 ±150mm，每档 50mm）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13" t="n">
        <v>15</v>
      </c>
      <c r="B19" s="14" t="inlineStr">
        <is>
          <t>小障碍 60×60×150（阿凡提）</t>
        </is>
      </c>
      <c r="C19" s="13" t="inlineStr">
        <is>
          <t>右侧</t>
        </is>
      </c>
      <c r="D19" s="13" t="inlineStr">
        <is>
          <t>自填</t>
        </is>
      </c>
      <c r="E19" s="13" t="inlineStr">
        <is>
          <t>10（内边）</t>
        </is>
      </c>
      <c r="F19" s="11" t="n"/>
      <c r="G19" s="11" t="n"/>
      <c r="H19" s="11" t="n"/>
      <c r="I19" s="11" t="n"/>
      <c r="J19" s="12" t="n"/>
      <c r="K19" s="11" t="n"/>
    </row>
    <row r="20">
      <c r="A20" s="13" t="n">
        <v>16</v>
      </c>
      <c r="B20" s="14" t="inlineStr">
        <is>
          <t>小障碍 60×60×150（阿凡提）</t>
        </is>
      </c>
      <c r="C20" s="13" t="inlineStr">
        <is>
          <t>右侧</t>
        </is>
      </c>
      <c r="D20" s="13" t="inlineStr">
        <is>
          <t>自填</t>
        </is>
      </c>
      <c r="E20" s="13" t="inlineStr">
        <is>
          <t>10（内边）</t>
        </is>
      </c>
      <c r="F20" s="11" t="n"/>
      <c r="G20" s="11" t="n"/>
      <c r="H20" s="11" t="n"/>
      <c r="I20" s="11" t="n"/>
      <c r="J20" s="12" t="n"/>
      <c r="K20" s="11" t="n"/>
    </row>
    <row r="21">
      <c r="A21" s="13" t="n">
        <v>17</v>
      </c>
      <c r="B21" s="14" t="inlineStr">
        <is>
          <t>小障碍 60×60×150（阿凡提）</t>
        </is>
      </c>
      <c r="C21" s="13" t="inlineStr">
        <is>
          <t>右侧</t>
        </is>
      </c>
      <c r="D21" s="13" t="inlineStr">
        <is>
          <t>自填</t>
        </is>
      </c>
      <c r="E21" s="13" t="inlineStr">
        <is>
          <t>10（内边）</t>
        </is>
      </c>
      <c r="F21" s="11" t="n"/>
      <c r="G21" s="11" t="n"/>
      <c r="H21" s="11" t="n"/>
      <c r="I21" s="11" t="n"/>
      <c r="J21" s="12" t="n"/>
      <c r="K21" s="11" t="n"/>
    </row>
    <row r="22">
      <c r="A22" s="13" t="n">
        <v>18</v>
      </c>
      <c r="B22" s="14" t="inlineStr">
        <is>
          <t>小障碍 60×60×150（阿凡提）</t>
        </is>
      </c>
      <c r="C22" s="13" t="inlineStr">
        <is>
          <t>右侧</t>
        </is>
      </c>
      <c r="D22" s="13" t="inlineStr">
        <is>
          <t>自填</t>
        </is>
      </c>
      <c r="E22" s="13" t="inlineStr">
        <is>
          <t>10（内边）</t>
        </is>
      </c>
      <c r="F22" s="11" t="n"/>
      <c r="G22" s="11" t="n"/>
      <c r="H22" s="11" t="n"/>
      <c r="I22" s="11" t="n"/>
      <c r="J22" s="12" t="n"/>
      <c r="K22" s="11" t="n"/>
    </row>
    <row r="23">
      <c r="A23" s="13" t="n">
        <v>19</v>
      </c>
      <c r="B23" s="14" t="inlineStr">
        <is>
          <t>小障碍 60×60×150（阿凡提）</t>
        </is>
      </c>
      <c r="C23" s="13" t="inlineStr">
        <is>
          <t>右侧</t>
        </is>
      </c>
      <c r="D23" s="13" t="inlineStr">
        <is>
          <t>自填</t>
        </is>
      </c>
      <c r="E23" s="13" t="inlineStr">
        <is>
          <t>10（内边）</t>
        </is>
      </c>
      <c r="F23" s="11" t="n"/>
      <c r="G23" s="11" t="n"/>
      <c r="H23" s="11" t="n"/>
      <c r="I23" s="11" t="n"/>
      <c r="J23" s="12" t="n"/>
      <c r="K23" s="11" t="n"/>
    </row>
    <row r="24">
      <c r="A24" s="13" t="n">
        <v>20</v>
      </c>
      <c r="B24" s="14" t="inlineStr">
        <is>
          <t>小障碍 60×60×150（阿凡提）</t>
        </is>
      </c>
      <c r="C24" s="13" t="inlineStr">
        <is>
          <t>右侧</t>
        </is>
      </c>
      <c r="D24" s="13" t="inlineStr">
        <is>
          <t>自填</t>
        </is>
      </c>
      <c r="E24" s="13" t="inlineStr">
        <is>
          <t>10（内边）</t>
        </is>
      </c>
      <c r="F24" s="11" t="n"/>
      <c r="G24" s="11" t="n"/>
      <c r="H24" s="11" t="n"/>
      <c r="I24" s="11" t="n"/>
      <c r="J24" s="12" t="n"/>
      <c r="K24" s="11" t="n"/>
    </row>
    <row r="25" ht="20" customHeight="1">
      <c r="A25" s="7" t="inlineStr">
        <is>
          <t>第 3 组 ⭐ 右侧 · 大障碍 · 贴线边（验『障碍越宽越早看到』）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 s="9" t="n">
        <v>21</v>
      </c>
      <c r="B26" s="10" t="inlineStr">
        <is>
          <t>大障碍 150×100×150（莫高窟）</t>
        </is>
      </c>
      <c r="C26" s="9" t="inlineStr">
        <is>
          <t>右侧</t>
        </is>
      </c>
      <c r="D26" s="9" t="n">
        <v>1200</v>
      </c>
      <c r="E26" s="9" t="inlineStr">
        <is>
          <t>10（内边）</t>
        </is>
      </c>
      <c r="F26" s="11" t="n"/>
      <c r="G26" s="11" t="n"/>
      <c r="H26" s="11" t="n"/>
      <c r="I26" s="11" t="n"/>
      <c r="J26" s="12" t="n"/>
      <c r="K26" s="11" t="n"/>
    </row>
    <row r="27">
      <c r="A27" s="9" t="n">
        <v>22</v>
      </c>
      <c r="B27" s="10" t="inlineStr">
        <is>
          <t>大障碍 150×100×150（莫高窟）</t>
        </is>
      </c>
      <c r="C27" s="9" t="inlineStr">
        <is>
          <t>右侧</t>
        </is>
      </c>
      <c r="D27" s="9" t="n">
        <v>1000</v>
      </c>
      <c r="E27" s="9" t="inlineStr">
        <is>
          <t>10（内边）</t>
        </is>
      </c>
      <c r="F27" s="11" t="n"/>
      <c r="G27" s="11" t="n"/>
      <c r="H27" s="11" t="n"/>
      <c r="I27" s="11" t="n"/>
      <c r="J27" s="12" t="n"/>
      <c r="K27" s="11" t="n"/>
    </row>
    <row r="28">
      <c r="A28" s="13" t="n">
        <v>23</v>
      </c>
      <c r="B28" s="14" t="inlineStr">
        <is>
          <t>大障碍 150×100×150（莫高窟）</t>
        </is>
      </c>
      <c r="C28" s="13" t="inlineStr">
        <is>
          <t>右侧</t>
        </is>
      </c>
      <c r="D28" s="13" t="n">
        <v>800</v>
      </c>
      <c r="E28" s="13" t="inlineStr">
        <is>
          <t>10（内边）</t>
        </is>
      </c>
      <c r="F28" s="11" t="n"/>
      <c r="G28" s="11" t="n"/>
      <c r="H28" s="11" t="n"/>
      <c r="I28" s="11" t="n"/>
      <c r="J28" s="12" t="n"/>
      <c r="K28" s="11" t="n"/>
    </row>
    <row r="29">
      <c r="A29" s="13" t="n">
        <v>24</v>
      </c>
      <c r="B29" s="14" t="inlineStr">
        <is>
          <t>大障碍 150×100×150（莫高窟）</t>
        </is>
      </c>
      <c r="C29" s="13" t="inlineStr">
        <is>
          <t>右侧</t>
        </is>
      </c>
      <c r="D29" s="13" t="n">
        <v>600</v>
      </c>
      <c r="E29" s="13" t="inlineStr">
        <is>
          <t>10（内边）</t>
        </is>
      </c>
      <c r="F29" s="11" t="n"/>
      <c r="G29" s="11" t="n"/>
      <c r="H29" s="11" t="n"/>
      <c r="I29" s="11" t="n"/>
      <c r="J29" s="12" t="n"/>
      <c r="K29" s="11" t="n"/>
    </row>
    <row r="30">
      <c r="A30" s="13" t="n">
        <v>25</v>
      </c>
      <c r="B30" s="14" t="inlineStr">
        <is>
          <t>大障碍 150×100×150（莫高窟）</t>
        </is>
      </c>
      <c r="C30" s="13" t="inlineStr">
        <is>
          <t>右侧</t>
        </is>
      </c>
      <c r="D30" s="13" t="n">
        <v>500</v>
      </c>
      <c r="E30" s="13" t="inlineStr">
        <is>
          <t>10（内边）</t>
        </is>
      </c>
      <c r="F30" s="11" t="n"/>
      <c r="G30" s="11" t="n"/>
      <c r="H30" s="11" t="n"/>
      <c r="I30" s="11" t="n"/>
      <c r="J30" s="12" t="n"/>
      <c r="K30" s="11" t="n"/>
    </row>
    <row r="31">
      <c r="A31" s="9" t="n">
        <v>26</v>
      </c>
      <c r="B31" s="10" t="inlineStr">
        <is>
          <t>大障碍 150×100×150（莫高窟）</t>
        </is>
      </c>
      <c r="C31" s="9" t="inlineStr">
        <is>
          <t>右侧</t>
        </is>
      </c>
      <c r="D31" s="9" t="n">
        <v>400</v>
      </c>
      <c r="E31" s="9" t="inlineStr">
        <is>
          <t>10（内边）</t>
        </is>
      </c>
      <c r="F31" s="11" t="n"/>
      <c r="G31" s="11" t="n"/>
      <c r="H31" s="11" t="n"/>
      <c r="I31" s="11" t="n"/>
      <c r="J31" s="12" t="n"/>
      <c r="K31" s="11" t="n"/>
    </row>
    <row r="32">
      <c r="A32" s="9" t="n">
        <v>27</v>
      </c>
      <c r="B32" s="10" t="inlineStr">
        <is>
          <t>大障碍 150×100×150（莫高窟）</t>
        </is>
      </c>
      <c r="C32" s="9" t="inlineStr">
        <is>
          <t>右侧</t>
        </is>
      </c>
      <c r="D32" s="9" t="n">
        <v>300</v>
      </c>
      <c r="E32" s="9" t="inlineStr">
        <is>
          <t>10（内边）</t>
        </is>
      </c>
      <c r="F32" s="11" t="n"/>
      <c r="G32" s="11" t="n"/>
      <c r="H32" s="11" t="n"/>
      <c r="I32" s="11" t="n"/>
      <c r="J32" s="12" t="n"/>
      <c r="K32" s="11" t="n"/>
    </row>
    <row r="33" ht="20" customHeight="1">
      <c r="A33" s="7" t="inlineStr">
        <is>
          <t>第 4 组 ⭐ 左侧 · 小障碍 · 贴线边 · 从远往近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 s="9" t="n">
        <v>28</v>
      </c>
      <c r="B34" s="10" t="inlineStr">
        <is>
          <t>小障碍 60×60×150（阿凡提）</t>
        </is>
      </c>
      <c r="C34" s="9" t="inlineStr">
        <is>
          <t>左侧</t>
        </is>
      </c>
      <c r="D34" s="9" t="n">
        <v>1200</v>
      </c>
      <c r="E34" s="9" t="inlineStr">
        <is>
          <t>-10（内边）</t>
        </is>
      </c>
      <c r="F34" s="11" t="n"/>
      <c r="G34" s="11" t="n"/>
      <c r="H34" s="11" t="n"/>
      <c r="I34" s="11" t="n"/>
      <c r="J34" s="12" t="n"/>
      <c r="K34" s="11" t="n"/>
    </row>
    <row r="35">
      <c r="A35" s="9" t="n">
        <v>29</v>
      </c>
      <c r="B35" s="10" t="inlineStr">
        <is>
          <t>小障碍 60×60×150（阿凡提）</t>
        </is>
      </c>
      <c r="C35" s="9" t="inlineStr">
        <is>
          <t>左侧</t>
        </is>
      </c>
      <c r="D35" s="9" t="n">
        <v>1100</v>
      </c>
      <c r="E35" s="9" t="inlineStr">
        <is>
          <t>-10（内边）</t>
        </is>
      </c>
      <c r="F35" s="11" t="n"/>
      <c r="G35" s="11" t="n"/>
      <c r="H35" s="11" t="n"/>
      <c r="I35" s="11" t="n"/>
      <c r="J35" s="12" t="n"/>
      <c r="K35" s="11" t="n"/>
    </row>
    <row r="36">
      <c r="A36" s="9" t="n">
        <v>30</v>
      </c>
      <c r="B36" s="10" t="inlineStr">
        <is>
          <t>小障碍 60×60×150（阿凡提）</t>
        </is>
      </c>
      <c r="C36" s="9" t="inlineStr">
        <is>
          <t>左侧</t>
        </is>
      </c>
      <c r="D36" s="9" t="n">
        <v>1000</v>
      </c>
      <c r="E36" s="9" t="inlineStr">
        <is>
          <t>-10（内边）</t>
        </is>
      </c>
      <c r="F36" s="11" t="n"/>
      <c r="G36" s="11" t="n"/>
      <c r="H36" s="11" t="n"/>
      <c r="I36" s="11" t="n"/>
      <c r="J36" s="12" t="n"/>
      <c r="K36" s="11" t="n"/>
    </row>
    <row r="37">
      <c r="A37" s="9" t="n">
        <v>31</v>
      </c>
      <c r="B37" s="10" t="inlineStr">
        <is>
          <t>小障碍 60×60×150（阿凡提）</t>
        </is>
      </c>
      <c r="C37" s="9" t="inlineStr">
        <is>
          <t>左侧</t>
        </is>
      </c>
      <c r="D37" s="9" t="n">
        <v>900</v>
      </c>
      <c r="E37" s="9" t="inlineStr">
        <is>
          <t>-10（内边）</t>
        </is>
      </c>
      <c r="F37" s="11" t="n"/>
      <c r="G37" s="11" t="n"/>
      <c r="H37" s="11" t="n"/>
      <c r="I37" s="11" t="n"/>
      <c r="J37" s="12" t="n"/>
      <c r="K37" s="11" t="n"/>
    </row>
    <row r="38">
      <c r="A38" s="9" t="n">
        <v>32</v>
      </c>
      <c r="B38" s="10" t="inlineStr">
        <is>
          <t>小障碍 60×60×150（阿凡提）</t>
        </is>
      </c>
      <c r="C38" s="9" t="inlineStr">
        <is>
          <t>左侧</t>
        </is>
      </c>
      <c r="D38" s="9" t="n">
        <v>800</v>
      </c>
      <c r="E38" s="9" t="inlineStr">
        <is>
          <t>-10（内边）</t>
        </is>
      </c>
      <c r="F38" s="11" t="n"/>
      <c r="G38" s="11" t="n"/>
      <c r="H38" s="11" t="n"/>
      <c r="I38" s="11" t="n"/>
      <c r="J38" s="12" t="n"/>
      <c r="K38" s="11" t="n"/>
    </row>
    <row r="39">
      <c r="A39" s="13" t="n">
        <v>33</v>
      </c>
      <c r="B39" s="14" t="inlineStr">
        <is>
          <t>小障碍 60×60×150（阿凡提）</t>
        </is>
      </c>
      <c r="C39" s="13" t="inlineStr">
        <is>
          <t>左侧</t>
        </is>
      </c>
      <c r="D39" s="13" t="n">
        <v>700</v>
      </c>
      <c r="E39" s="13" t="inlineStr">
        <is>
          <t>-10（内边）</t>
        </is>
      </c>
      <c r="F39" s="11" t="n"/>
      <c r="G39" s="11" t="n"/>
      <c r="H39" s="11" t="n"/>
      <c r="I39" s="11" t="n"/>
      <c r="J39" s="12" t="n"/>
      <c r="K39" s="11" t="n"/>
    </row>
    <row r="40">
      <c r="A40" s="13" t="n">
        <v>34</v>
      </c>
      <c r="B40" s="14" t="inlineStr">
        <is>
          <t>小障碍 60×60×150（阿凡提）</t>
        </is>
      </c>
      <c r="C40" s="13" t="inlineStr">
        <is>
          <t>左侧</t>
        </is>
      </c>
      <c r="D40" s="13" t="n">
        <v>600</v>
      </c>
      <c r="E40" s="13" t="inlineStr">
        <is>
          <t>-10（内边）</t>
        </is>
      </c>
      <c r="F40" s="11" t="n"/>
      <c r="G40" s="11" t="n"/>
      <c r="H40" s="11" t="n"/>
      <c r="I40" s="11" t="n"/>
      <c r="J40" s="12" t="n"/>
      <c r="K40" s="11" t="n"/>
    </row>
    <row r="41">
      <c r="A41" s="13" t="n">
        <v>35</v>
      </c>
      <c r="B41" s="14" t="inlineStr">
        <is>
          <t>小障碍 60×60×150（阿凡提）</t>
        </is>
      </c>
      <c r="C41" s="13" t="inlineStr">
        <is>
          <t>左侧</t>
        </is>
      </c>
      <c r="D41" s="13" t="n">
        <v>500</v>
      </c>
      <c r="E41" s="13" t="inlineStr">
        <is>
          <t>-10（内边）</t>
        </is>
      </c>
      <c r="F41" s="11" t="n"/>
      <c r="G41" s="11" t="n"/>
      <c r="H41" s="11" t="n"/>
      <c r="I41" s="11" t="n"/>
      <c r="J41" s="12" t="n"/>
      <c r="K41" s="11" t="n"/>
    </row>
    <row r="42">
      <c r="A42" s="9" t="n">
        <v>36</v>
      </c>
      <c r="B42" s="10" t="inlineStr">
        <is>
          <t>小障碍 60×60×150（阿凡提）</t>
        </is>
      </c>
      <c r="C42" s="9" t="inlineStr">
        <is>
          <t>左侧</t>
        </is>
      </c>
      <c r="D42" s="9" t="n">
        <v>450</v>
      </c>
      <c r="E42" s="9" t="inlineStr">
        <is>
          <t>-10（内边）</t>
        </is>
      </c>
      <c r="F42" s="11" t="n"/>
      <c r="G42" s="11" t="n"/>
      <c r="H42" s="11" t="n"/>
      <c r="I42" s="11" t="n"/>
      <c r="J42" s="12" t="n"/>
      <c r="K42" s="11" t="n"/>
    </row>
    <row r="43">
      <c r="A43" s="13" t="n">
        <v>37</v>
      </c>
      <c r="B43" s="14" t="inlineStr">
        <is>
          <t>小障碍 60×60×150（阿凡提）</t>
        </is>
      </c>
      <c r="C43" s="13" t="inlineStr">
        <is>
          <t>左侧</t>
        </is>
      </c>
      <c r="D43" s="13" t="n">
        <v>400</v>
      </c>
      <c r="E43" s="13" t="inlineStr">
        <is>
          <t>-10（内边）</t>
        </is>
      </c>
      <c r="F43" s="11" t="n"/>
      <c r="G43" s="11" t="n"/>
      <c r="H43" s="11" t="n"/>
      <c r="I43" s="11" t="n"/>
      <c r="J43" s="12" t="n"/>
      <c r="K43" s="11" t="n"/>
    </row>
    <row r="44">
      <c r="A44" s="9" t="n">
        <v>38</v>
      </c>
      <c r="B44" s="10" t="inlineStr">
        <is>
          <t>小障碍 60×60×150（阿凡提）</t>
        </is>
      </c>
      <c r="C44" s="9" t="inlineStr">
        <is>
          <t>左侧</t>
        </is>
      </c>
      <c r="D44" s="9" t="n">
        <v>350</v>
      </c>
      <c r="E44" s="9" t="inlineStr">
        <is>
          <t>-10（内边）</t>
        </is>
      </c>
      <c r="F44" s="11" t="n"/>
      <c r="G44" s="11" t="n"/>
      <c r="H44" s="11" t="n"/>
      <c r="I44" s="11" t="n"/>
      <c r="J44" s="12" t="n"/>
      <c r="K44" s="11" t="n"/>
    </row>
    <row r="45">
      <c r="A45" s="9" t="n">
        <v>39</v>
      </c>
      <c r="B45" s="10" t="inlineStr">
        <is>
          <t>小障碍 60×60×150（阿凡提）</t>
        </is>
      </c>
      <c r="C45" s="9" t="inlineStr">
        <is>
          <t>左侧</t>
        </is>
      </c>
      <c r="D45" s="9" t="n">
        <v>300</v>
      </c>
      <c r="E45" s="9" t="inlineStr">
        <is>
          <t>-10（内边）</t>
        </is>
      </c>
      <c r="F45" s="11" t="n"/>
      <c r="G45" s="11" t="n"/>
      <c r="H45" s="11" t="n"/>
      <c r="I45" s="11" t="n"/>
      <c r="J45" s="12" t="n"/>
      <c r="K45" s="11" t="n"/>
    </row>
    <row r="46">
      <c r="A46" s="9" t="n">
        <v>40</v>
      </c>
      <c r="B46" s="10" t="inlineStr">
        <is>
          <t>小障碍 60×60×150（阿凡提）</t>
        </is>
      </c>
      <c r="C46" s="9" t="inlineStr">
        <is>
          <t>左侧</t>
        </is>
      </c>
      <c r="D46" s="9" t="n">
        <v>250</v>
      </c>
      <c r="E46" s="9" t="inlineStr">
        <is>
          <t>-10（内边）</t>
        </is>
      </c>
      <c r="F46" s="11" t="n"/>
      <c r="G46" s="11" t="n"/>
      <c r="H46" s="11" t="n"/>
      <c r="I46" s="11" t="n"/>
      <c r="J46" s="12" t="n"/>
      <c r="K46" s="11" t="n"/>
    </row>
    <row r="47">
      <c r="A47" s="9" t="n">
        <v>41</v>
      </c>
      <c r="B47" s="10" t="inlineStr">
        <is>
          <t>小障碍 60×60×150（阿凡提）</t>
        </is>
      </c>
      <c r="C47" s="9" t="inlineStr">
        <is>
          <t>左侧</t>
        </is>
      </c>
      <c r="D47" s="9" t="n">
        <v>200</v>
      </c>
      <c r="E47" s="9" t="inlineStr">
        <is>
          <t>-10（内边）</t>
        </is>
      </c>
      <c r="F47" s="11" t="n"/>
      <c r="G47" s="11" t="n"/>
      <c r="H47" s="11" t="n"/>
      <c r="I47" s="11" t="n"/>
      <c r="J47" s="12" t="n"/>
      <c r="K47" s="11" t="n"/>
    </row>
    <row r="48" ht="20" customHeight="1">
      <c r="A48" s="7" t="inlineStr">
        <is>
          <t>第 5 组 ⭐ 左侧 · 小障碍 · 细扫（同第 2 组，换左边）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</row>
    <row r="49">
      <c r="A49" s="13" t="n">
        <v>42</v>
      </c>
      <c r="B49" s="14" t="inlineStr">
        <is>
          <t>小障碍 60×60×150（阿凡提）</t>
        </is>
      </c>
      <c r="C49" s="13" t="inlineStr">
        <is>
          <t>左侧</t>
        </is>
      </c>
      <c r="D49" s="13" t="inlineStr">
        <is>
          <t>自填</t>
        </is>
      </c>
      <c r="E49" s="13" t="inlineStr">
        <is>
          <t>-10（内边）</t>
        </is>
      </c>
      <c r="F49" s="11" t="n"/>
      <c r="G49" s="11" t="n"/>
      <c r="H49" s="11" t="n"/>
      <c r="I49" s="11" t="n"/>
      <c r="J49" s="12" t="n"/>
      <c r="K49" s="11" t="n"/>
    </row>
    <row r="50">
      <c r="A50" s="13" t="n">
        <v>43</v>
      </c>
      <c r="B50" s="14" t="inlineStr">
        <is>
          <t>小障碍 60×60×150（阿凡提）</t>
        </is>
      </c>
      <c r="C50" s="13" t="inlineStr">
        <is>
          <t>左侧</t>
        </is>
      </c>
      <c r="D50" s="13" t="inlineStr">
        <is>
          <t>自填</t>
        </is>
      </c>
      <c r="E50" s="13" t="inlineStr">
        <is>
          <t>-10（内边）</t>
        </is>
      </c>
      <c r="F50" s="11" t="n"/>
      <c r="G50" s="11" t="n"/>
      <c r="H50" s="11" t="n"/>
      <c r="I50" s="11" t="n"/>
      <c r="J50" s="12" t="n"/>
      <c r="K50" s="11" t="n"/>
    </row>
    <row r="51">
      <c r="A51" s="13" t="n">
        <v>44</v>
      </c>
      <c r="B51" s="14" t="inlineStr">
        <is>
          <t>小障碍 60×60×150（阿凡提）</t>
        </is>
      </c>
      <c r="C51" s="13" t="inlineStr">
        <is>
          <t>左侧</t>
        </is>
      </c>
      <c r="D51" s="13" t="inlineStr">
        <is>
          <t>自填</t>
        </is>
      </c>
      <c r="E51" s="13" t="inlineStr">
        <is>
          <t>-10（内边）</t>
        </is>
      </c>
      <c r="F51" s="11" t="n"/>
      <c r="G51" s="11" t="n"/>
      <c r="H51" s="11" t="n"/>
      <c r="I51" s="11" t="n"/>
      <c r="J51" s="12" t="n"/>
      <c r="K51" s="11" t="n"/>
    </row>
    <row r="52">
      <c r="A52" s="13" t="n">
        <v>45</v>
      </c>
      <c r="B52" s="14" t="inlineStr">
        <is>
          <t>小障碍 60×60×150（阿凡提）</t>
        </is>
      </c>
      <c r="C52" s="13" t="inlineStr">
        <is>
          <t>左侧</t>
        </is>
      </c>
      <c r="D52" s="13" t="inlineStr">
        <is>
          <t>自填</t>
        </is>
      </c>
      <c r="E52" s="13" t="inlineStr">
        <is>
          <t>-10（内边）</t>
        </is>
      </c>
      <c r="F52" s="11" t="n"/>
      <c r="G52" s="11" t="n"/>
      <c r="H52" s="11" t="n"/>
      <c r="I52" s="11" t="n"/>
      <c r="J52" s="12" t="n"/>
      <c r="K52" s="11" t="n"/>
    </row>
    <row r="53">
      <c r="A53" s="13" t="n">
        <v>46</v>
      </c>
      <c r="B53" s="14" t="inlineStr">
        <is>
          <t>小障碍 60×60×150（阿凡提）</t>
        </is>
      </c>
      <c r="C53" s="13" t="inlineStr">
        <is>
          <t>左侧</t>
        </is>
      </c>
      <c r="D53" s="13" t="inlineStr">
        <is>
          <t>自填</t>
        </is>
      </c>
      <c r="E53" s="13" t="inlineStr">
        <is>
          <t>-10（内边）</t>
        </is>
      </c>
      <c r="F53" s="11" t="n"/>
      <c r="G53" s="11" t="n"/>
      <c r="H53" s="11" t="n"/>
      <c r="I53" s="11" t="n"/>
      <c r="J53" s="12" t="n"/>
      <c r="K53" s="11" t="n"/>
    </row>
    <row r="54">
      <c r="A54" s="13" t="n">
        <v>47</v>
      </c>
      <c r="B54" s="14" t="inlineStr">
        <is>
          <t>小障碍 60×60×150（阿凡提）</t>
        </is>
      </c>
      <c r="C54" s="13" t="inlineStr">
        <is>
          <t>左侧</t>
        </is>
      </c>
      <c r="D54" s="13" t="inlineStr">
        <is>
          <t>自填</t>
        </is>
      </c>
      <c r="E54" s="13" t="inlineStr">
        <is>
          <t>-10（内边）</t>
        </is>
      </c>
      <c r="F54" s="11" t="n"/>
      <c r="G54" s="11" t="n"/>
      <c r="H54" s="11" t="n"/>
      <c r="I54" s="11" t="n"/>
      <c r="J54" s="12" t="n"/>
      <c r="K54" s="11" t="n"/>
    </row>
    <row r="55" ht="20" customHeight="1">
      <c r="A55" s="7" t="inlineStr">
        <is>
          <t>第 6 组 ⭐ 左侧 · 大障碍 · 贴线边</t>
        </is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</row>
    <row r="56">
      <c r="A56" s="9" t="n">
        <v>48</v>
      </c>
      <c r="B56" s="10" t="inlineStr">
        <is>
          <t>大障碍 150×100×150（莫高窟）</t>
        </is>
      </c>
      <c r="C56" s="9" t="inlineStr">
        <is>
          <t>左侧</t>
        </is>
      </c>
      <c r="D56" s="9" t="n">
        <v>1200</v>
      </c>
      <c r="E56" s="9" t="inlineStr">
        <is>
          <t>-10（内边）</t>
        </is>
      </c>
      <c r="F56" s="11" t="n"/>
      <c r="G56" s="11" t="n"/>
      <c r="H56" s="11" t="n"/>
      <c r="I56" s="11" t="n"/>
      <c r="J56" s="12" t="n"/>
      <c r="K56" s="11" t="n"/>
    </row>
    <row r="57">
      <c r="A57" s="9" t="n">
        <v>49</v>
      </c>
      <c r="B57" s="10" t="inlineStr">
        <is>
          <t>大障碍 150×100×150（莫高窟）</t>
        </is>
      </c>
      <c r="C57" s="9" t="inlineStr">
        <is>
          <t>左侧</t>
        </is>
      </c>
      <c r="D57" s="9" t="n">
        <v>1000</v>
      </c>
      <c r="E57" s="9" t="inlineStr">
        <is>
          <t>-10（内边）</t>
        </is>
      </c>
      <c r="F57" s="11" t="n"/>
      <c r="G57" s="11" t="n"/>
      <c r="H57" s="11" t="n"/>
      <c r="I57" s="11" t="n"/>
      <c r="J57" s="12" t="n"/>
      <c r="K57" s="11" t="n"/>
    </row>
    <row r="58">
      <c r="A58" s="13" t="n">
        <v>50</v>
      </c>
      <c r="B58" s="14" t="inlineStr">
        <is>
          <t>大障碍 150×100×150（莫高窟）</t>
        </is>
      </c>
      <c r="C58" s="13" t="inlineStr">
        <is>
          <t>左侧</t>
        </is>
      </c>
      <c r="D58" s="13" t="n">
        <v>800</v>
      </c>
      <c r="E58" s="13" t="inlineStr">
        <is>
          <t>-10（内边）</t>
        </is>
      </c>
      <c r="F58" s="11" t="n"/>
      <c r="G58" s="11" t="n"/>
      <c r="H58" s="11" t="n"/>
      <c r="I58" s="11" t="n"/>
      <c r="J58" s="12" t="n"/>
      <c r="K58" s="11" t="n"/>
    </row>
    <row r="59">
      <c r="A59" s="13" t="n">
        <v>51</v>
      </c>
      <c r="B59" s="14" t="inlineStr">
        <is>
          <t>大障碍 150×100×150（莫高窟）</t>
        </is>
      </c>
      <c r="C59" s="13" t="inlineStr">
        <is>
          <t>左侧</t>
        </is>
      </c>
      <c r="D59" s="13" t="n">
        <v>600</v>
      </c>
      <c r="E59" s="13" t="inlineStr">
        <is>
          <t>-10（内边）</t>
        </is>
      </c>
      <c r="F59" s="11" t="n"/>
      <c r="G59" s="11" t="n"/>
      <c r="H59" s="11" t="n"/>
      <c r="I59" s="11" t="n"/>
      <c r="J59" s="12" t="n"/>
      <c r="K59" s="11" t="n"/>
    </row>
    <row r="60">
      <c r="A60" s="13" t="n">
        <v>52</v>
      </c>
      <c r="B60" s="14" t="inlineStr">
        <is>
          <t>大障碍 150×100×150（莫高窟）</t>
        </is>
      </c>
      <c r="C60" s="13" t="inlineStr">
        <is>
          <t>左侧</t>
        </is>
      </c>
      <c r="D60" s="13" t="n">
        <v>500</v>
      </c>
      <c r="E60" s="13" t="inlineStr">
        <is>
          <t>-10（内边）</t>
        </is>
      </c>
      <c r="F60" s="11" t="n"/>
      <c r="G60" s="11" t="n"/>
      <c r="H60" s="11" t="n"/>
      <c r="I60" s="11" t="n"/>
      <c r="J60" s="12" t="n"/>
      <c r="K60" s="11" t="n"/>
    </row>
    <row r="61">
      <c r="A61" s="9" t="n">
        <v>53</v>
      </c>
      <c r="B61" s="10" t="inlineStr">
        <is>
          <t>大障碍 150×100×150（莫高窟）</t>
        </is>
      </c>
      <c r="C61" s="9" t="inlineStr">
        <is>
          <t>左侧</t>
        </is>
      </c>
      <c r="D61" s="9" t="n">
        <v>400</v>
      </c>
      <c r="E61" s="9" t="inlineStr">
        <is>
          <t>-10（内边）</t>
        </is>
      </c>
      <c r="F61" s="11" t="n"/>
      <c r="G61" s="11" t="n"/>
      <c r="H61" s="11" t="n"/>
      <c r="I61" s="11" t="n"/>
      <c r="J61" s="12" t="n"/>
      <c r="K61" s="11" t="n"/>
    </row>
    <row r="62">
      <c r="A62" s="9" t="n">
        <v>54</v>
      </c>
      <c r="B62" s="10" t="inlineStr">
        <is>
          <t>大障碍 150×100×150（莫高窟）</t>
        </is>
      </c>
      <c r="C62" s="9" t="inlineStr">
        <is>
          <t>左侧</t>
        </is>
      </c>
      <c r="D62" s="9" t="n">
        <v>300</v>
      </c>
      <c r="E62" s="9" t="inlineStr">
        <is>
          <t>-10（内边）</t>
        </is>
      </c>
      <c r="F62" s="11" t="n"/>
      <c r="G62" s="11" t="n"/>
      <c r="H62" s="11" t="n"/>
      <c r="I62" s="11" t="n"/>
      <c r="J62" s="12" t="n"/>
      <c r="K62" s="11" t="n"/>
    </row>
    <row r="63" ht="20" customHeight="1">
      <c r="A63" s="7" t="inlineStr">
        <is>
          <t>第 7 组 ⭐ 正前方 / 横向覆盖（X 固定 400；这组的 Y 是『障碍中心』对车中轴，不是内边）</t>
        </is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</row>
    <row r="64">
      <c r="A64" s="13" t="n">
        <v>55</v>
      </c>
      <c r="B64" s="14" t="inlineStr">
        <is>
          <t>小障碍 60×60×150（阿凡提）</t>
        </is>
      </c>
      <c r="C64" s="13" t="inlineStr">
        <is>
          <t>中央</t>
        </is>
      </c>
      <c r="D64" s="13" t="n">
        <v>400</v>
      </c>
      <c r="E64" s="13" t="inlineStr">
        <is>
          <t>0（中心）</t>
        </is>
      </c>
      <c r="F64" s="11" t="n"/>
      <c r="G64" s="11" t="n"/>
      <c r="H64" s="11" t="n"/>
      <c r="I64" s="11" t="n"/>
      <c r="J64" s="12" t="n"/>
      <c r="K64" s="11" t="n"/>
    </row>
    <row r="65">
      <c r="A65" s="13" t="n">
        <v>56</v>
      </c>
      <c r="B65" s="14" t="inlineStr">
        <is>
          <t>小障碍 60×60×150（阿凡提）</t>
        </is>
      </c>
      <c r="C65" s="13" t="inlineStr">
        <is>
          <t>右侧</t>
        </is>
      </c>
      <c r="D65" s="13" t="n">
        <v>400</v>
      </c>
      <c r="E65" s="13" t="inlineStr">
        <is>
          <t>40（中心）</t>
        </is>
      </c>
      <c r="F65" s="11" t="n"/>
      <c r="G65" s="11" t="n"/>
      <c r="H65" s="11" t="n"/>
      <c r="I65" s="11" t="n"/>
      <c r="J65" s="12" t="n"/>
      <c r="K65" s="11" t="n"/>
    </row>
    <row r="66">
      <c r="A66" s="13" t="n">
        <v>57</v>
      </c>
      <c r="B66" s="14" t="inlineStr">
        <is>
          <t>小障碍 60×60×150（阿凡提）</t>
        </is>
      </c>
      <c r="C66" s="13" t="inlineStr">
        <is>
          <t>左侧</t>
        </is>
      </c>
      <c r="D66" s="13" t="n">
        <v>400</v>
      </c>
      <c r="E66" s="13" t="inlineStr">
        <is>
          <t>-40（中心）</t>
        </is>
      </c>
      <c r="F66" s="11" t="n"/>
      <c r="G66" s="11" t="n"/>
      <c r="H66" s="11" t="n"/>
      <c r="I66" s="11" t="n"/>
      <c r="J66" s="12" t="n"/>
      <c r="K66" s="11" t="n"/>
    </row>
    <row r="67">
      <c r="A67" s="13" t="n">
        <v>58</v>
      </c>
      <c r="B67" s="14" t="inlineStr">
        <is>
          <t>小障碍 60×60×150（阿凡提）</t>
        </is>
      </c>
      <c r="C67" s="13" t="inlineStr">
        <is>
          <t>右侧</t>
        </is>
      </c>
      <c r="D67" s="13" t="n">
        <v>400</v>
      </c>
      <c r="E67" s="13" t="inlineStr">
        <is>
          <t>80（中心）</t>
        </is>
      </c>
      <c r="F67" s="11" t="n"/>
      <c r="G67" s="11" t="n"/>
      <c r="H67" s="11" t="n"/>
      <c r="I67" s="11" t="n"/>
      <c r="J67" s="12" t="n"/>
      <c r="K67" s="11" t="n"/>
    </row>
    <row r="68">
      <c r="A68" s="13" t="n">
        <v>59</v>
      </c>
      <c r="B68" s="14" t="inlineStr">
        <is>
          <t>小障碍 60×60×150（阿凡提）</t>
        </is>
      </c>
      <c r="C68" s="13" t="inlineStr">
        <is>
          <t>左侧</t>
        </is>
      </c>
      <c r="D68" s="13" t="n">
        <v>400</v>
      </c>
      <c r="E68" s="13" t="inlineStr">
        <is>
          <t>-80（中心）</t>
        </is>
      </c>
      <c r="F68" s="11" t="n"/>
      <c r="G68" s="11" t="n"/>
      <c r="H68" s="11" t="n"/>
      <c r="I68" s="11" t="n"/>
      <c r="J68" s="12" t="n"/>
      <c r="K68" s="11" t="n"/>
    </row>
    <row r="69">
      <c r="A69" s="9" t="n">
        <v>60</v>
      </c>
      <c r="B69" s="10" t="inlineStr">
        <is>
          <t>小障碍 60×60×150（阿凡提）</t>
        </is>
      </c>
      <c r="C69" s="9" t="inlineStr">
        <is>
          <t>右侧</t>
        </is>
      </c>
      <c r="D69" s="9" t="n">
        <v>400</v>
      </c>
      <c r="E69" s="9" t="inlineStr">
        <is>
          <t>120（中心）</t>
        </is>
      </c>
      <c r="F69" s="11" t="n"/>
      <c r="G69" s="11" t="n"/>
      <c r="H69" s="11" t="n"/>
      <c r="I69" s="11" t="n"/>
      <c r="J69" s="12" t="n"/>
      <c r="K69" s="11" t="n"/>
    </row>
    <row r="70">
      <c r="A70" s="9" t="n">
        <v>61</v>
      </c>
      <c r="B70" s="10" t="inlineStr">
        <is>
          <t>小障碍 60×60×150（阿凡提）</t>
        </is>
      </c>
      <c r="C70" s="9" t="inlineStr">
        <is>
          <t>左侧</t>
        </is>
      </c>
      <c r="D70" s="9" t="n">
        <v>400</v>
      </c>
      <c r="E70" s="9" t="inlineStr">
        <is>
          <t>-120（中心）</t>
        </is>
      </c>
      <c r="F70" s="11" t="n"/>
      <c r="G70" s="11" t="n"/>
      <c r="H70" s="11" t="n"/>
      <c r="I70" s="11" t="n"/>
      <c r="J70" s="12" t="n"/>
      <c r="K70" s="11" t="n"/>
    </row>
    <row r="71">
      <c r="A71" s="9" t="n">
        <v>62</v>
      </c>
      <c r="B71" s="10" t="inlineStr">
        <is>
          <t>小障碍 60×60×150（阿凡提）</t>
        </is>
      </c>
      <c r="C71" s="9" t="inlineStr">
        <is>
          <t>右侧</t>
        </is>
      </c>
      <c r="D71" s="9" t="n">
        <v>400</v>
      </c>
      <c r="E71" s="9" t="inlineStr">
        <is>
          <t>160（中心）</t>
        </is>
      </c>
      <c r="F71" s="11" t="n"/>
      <c r="G71" s="11" t="n"/>
      <c r="H71" s="11" t="n"/>
      <c r="I71" s="11" t="n"/>
      <c r="J71" s="12" t="n"/>
      <c r="K71" s="11" t="n"/>
    </row>
    <row r="72">
      <c r="A72" s="9" t="n">
        <v>63</v>
      </c>
      <c r="B72" s="10" t="inlineStr">
        <is>
          <t>小障碍 60×60×150（阿凡提）</t>
        </is>
      </c>
      <c r="C72" s="9" t="inlineStr">
        <is>
          <t>左侧</t>
        </is>
      </c>
      <c r="D72" s="9" t="n">
        <v>400</v>
      </c>
      <c r="E72" s="9" t="inlineStr">
        <is>
          <t>-160（中心）</t>
        </is>
      </c>
      <c r="F72" s="11" t="n"/>
      <c r="G72" s="11" t="n"/>
      <c r="H72" s="11" t="n"/>
      <c r="I72" s="11" t="n"/>
      <c r="J72" s="12" t="n"/>
      <c r="K72" s="11" t="n"/>
    </row>
    <row r="73">
      <c r="A73" s="9" t="n">
        <v>64</v>
      </c>
      <c r="B73" s="10" t="inlineStr">
        <is>
          <t>小障碍 60×60×150（阿凡提）</t>
        </is>
      </c>
      <c r="C73" s="9" t="inlineStr">
        <is>
          <t>右侧</t>
        </is>
      </c>
      <c r="D73" s="9" t="n">
        <v>400</v>
      </c>
      <c r="E73" s="9" t="inlineStr">
        <is>
          <t>200（中心）</t>
        </is>
      </c>
      <c r="F73" s="11" t="n"/>
      <c r="G73" s="11" t="n"/>
      <c r="H73" s="11" t="n"/>
      <c r="I73" s="11" t="n"/>
      <c r="J73" s="12" t="n"/>
      <c r="K73" s="11" t="n"/>
    </row>
    <row r="74">
      <c r="A74" s="9" t="n">
        <v>65</v>
      </c>
      <c r="B74" s="10" t="inlineStr">
        <is>
          <t>小障碍 60×60×150（阿凡提）</t>
        </is>
      </c>
      <c r="C74" s="9" t="inlineStr">
        <is>
          <t>左侧</t>
        </is>
      </c>
      <c r="D74" s="9" t="n">
        <v>400</v>
      </c>
      <c r="E74" s="9" t="inlineStr">
        <is>
          <t>-200（中心）</t>
        </is>
      </c>
      <c r="F74" s="11" t="n"/>
      <c r="G74" s="11" t="n"/>
      <c r="H74" s="11" t="n"/>
      <c r="I74" s="11" t="n"/>
      <c r="J74" s="12" t="n"/>
      <c r="K74" s="11" t="n"/>
    </row>
    <row r="75">
      <c r="A75" s="9" t="n">
        <v>66</v>
      </c>
      <c r="B75" s="10" t="inlineStr">
        <is>
          <t>小障碍 60×60×150（阿凡提）</t>
        </is>
      </c>
      <c r="C75" s="9" t="inlineStr">
        <is>
          <t>右侧</t>
        </is>
      </c>
      <c r="D75" s="9" t="n">
        <v>400</v>
      </c>
      <c r="E75" s="9" t="inlineStr">
        <is>
          <t>250（中心）</t>
        </is>
      </c>
      <c r="F75" s="11" t="n"/>
      <c r="G75" s="11" t="n"/>
      <c r="H75" s="11" t="n"/>
      <c r="I75" s="11" t="n"/>
      <c r="J75" s="12" t="n"/>
      <c r="K75" s="11" t="n"/>
    </row>
    <row r="76">
      <c r="A76" s="9" t="n">
        <v>67</v>
      </c>
      <c r="B76" s="10" t="inlineStr">
        <is>
          <t>小障碍 60×60×150（阿凡提）</t>
        </is>
      </c>
      <c r="C76" s="9" t="inlineStr">
        <is>
          <t>左侧</t>
        </is>
      </c>
      <c r="D76" s="9" t="n">
        <v>400</v>
      </c>
      <c r="E76" s="9" t="inlineStr">
        <is>
          <t>-250（中心）</t>
        </is>
      </c>
      <c r="F76" s="11" t="n"/>
      <c r="G76" s="11" t="n"/>
      <c r="H76" s="11" t="n"/>
      <c r="I76" s="11" t="n"/>
      <c r="J76" s="12" t="n"/>
      <c r="K76" s="11" t="n"/>
    </row>
    <row r="77" ht="20" customHeight="1">
      <c r="A77" s="7" t="inlineStr">
        <is>
          <t>第 8 组 ⭐ 最近距离（右侧 · 小障碍 · 贴线边，看多近还测得到）</t>
        </is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</row>
    <row r="78">
      <c r="A78" s="13" t="n">
        <v>68</v>
      </c>
      <c r="B78" s="14" t="inlineStr">
        <is>
          <t>小障碍 60×60×150（阿凡提）</t>
        </is>
      </c>
      <c r="C78" s="13" t="inlineStr">
        <is>
          <t>右侧</t>
        </is>
      </c>
      <c r="D78" s="13" t="n">
        <v>150</v>
      </c>
      <c r="E78" s="13" t="inlineStr">
        <is>
          <t>10（内边）</t>
        </is>
      </c>
      <c r="F78" s="11" t="n"/>
      <c r="G78" s="11" t="n"/>
      <c r="H78" s="11" t="n"/>
      <c r="I78" s="11" t="n"/>
      <c r="J78" s="12" t="n"/>
      <c r="K78" s="11" t="n"/>
    </row>
    <row r="79">
      <c r="A79" s="13" t="n">
        <v>69</v>
      </c>
      <c r="B79" s="14" t="inlineStr">
        <is>
          <t>小障碍 60×60×150（阿凡提）</t>
        </is>
      </c>
      <c r="C79" s="13" t="inlineStr">
        <is>
          <t>右侧</t>
        </is>
      </c>
      <c r="D79" s="13" t="n">
        <v>100</v>
      </c>
      <c r="E79" s="13" t="inlineStr">
        <is>
          <t>10（内边）</t>
        </is>
      </c>
      <c r="F79" s="11" t="n"/>
      <c r="G79" s="11" t="n"/>
      <c r="H79" s="11" t="n"/>
      <c r="I79" s="11" t="n"/>
      <c r="J79" s="12" t="n"/>
      <c r="K79" s="11" t="n"/>
    </row>
    <row r="80">
      <c r="A80" s="13" t="n">
        <v>70</v>
      </c>
      <c r="B80" s="14" t="inlineStr">
        <is>
          <t>小障碍 60×60×150（阿凡提）</t>
        </is>
      </c>
      <c r="C80" s="13" t="inlineStr">
        <is>
          <t>右侧</t>
        </is>
      </c>
      <c r="D80" s="13" t="n">
        <v>50</v>
      </c>
      <c r="E80" s="13" t="inlineStr">
        <is>
          <t>10（内边）</t>
        </is>
      </c>
      <c r="F80" s="11" t="n"/>
      <c r="G80" s="11" t="n"/>
      <c r="H80" s="11" t="n"/>
      <c r="I80" s="11" t="n"/>
      <c r="J80" s="12" t="n"/>
      <c r="K80" s="11" t="n"/>
    </row>
    <row r="81" ht="20" customHeight="1">
      <c r="A81" s="7" t="inlineStr">
        <is>
          <t>第 9 组 抽查重复（把上面最关键的 3 个点再摆一遍：右侧首检出那点 / 正前中央 / 右侧大障碍首检出）</t>
        </is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</row>
    <row r="82">
      <c r="A82" s="13" t="n">
        <v>71</v>
      </c>
      <c r="B82" s="14" t="inlineStr">
        <is>
          <t>小障碍 60×60×150（阿凡提）</t>
        </is>
      </c>
      <c r="C82" s="13" t="inlineStr">
        <is>
          <t>自填</t>
        </is>
      </c>
      <c r="D82" s="13" t="inlineStr">
        <is>
          <t>自填</t>
        </is>
      </c>
      <c r="E82" s="13" t="inlineStr">
        <is>
          <t>自填</t>
        </is>
      </c>
      <c r="F82" s="11" t="n"/>
      <c r="G82" s="11" t="n"/>
      <c r="H82" s="11" t="n"/>
      <c r="I82" s="11" t="n"/>
      <c r="J82" s="12" t="n"/>
      <c r="K82" s="11" t="n"/>
    </row>
    <row r="83">
      <c r="A83" s="13" t="n">
        <v>72</v>
      </c>
      <c r="B83" s="14" t="inlineStr">
        <is>
          <t>小障碍 60×60×150（阿凡提）</t>
        </is>
      </c>
      <c r="C83" s="13" t="inlineStr">
        <is>
          <t>自填</t>
        </is>
      </c>
      <c r="D83" s="13" t="inlineStr">
        <is>
          <t>自填</t>
        </is>
      </c>
      <c r="E83" s="13" t="inlineStr">
        <is>
          <t>自填</t>
        </is>
      </c>
      <c r="F83" s="11" t="n"/>
      <c r="G83" s="11" t="n"/>
      <c r="H83" s="11" t="n"/>
      <c r="I83" s="11" t="n"/>
      <c r="J83" s="12" t="n"/>
      <c r="K83" s="11" t="n"/>
    </row>
    <row r="84">
      <c r="A84" s="13" t="n">
        <v>73</v>
      </c>
      <c r="B84" s="14" t="inlineStr">
        <is>
          <t>小障碍 60×60×150（阿凡提）</t>
        </is>
      </c>
      <c r="C84" s="13" t="inlineStr">
        <is>
          <t>自填</t>
        </is>
      </c>
      <c r="D84" s="13" t="inlineStr">
        <is>
          <t>自填</t>
        </is>
      </c>
      <c r="E84" s="13" t="inlineStr">
        <is>
          <t>自填</t>
        </is>
      </c>
      <c r="F84" s="11" t="n"/>
      <c r="G84" s="11" t="n"/>
      <c r="H84" s="11" t="n"/>
      <c r="I84" s="11" t="n"/>
      <c r="J84" s="12" t="n"/>
      <c r="K84" s="11" t="n"/>
    </row>
  </sheetData>
  <mergeCells count="10">
    <mergeCell ref="A18:K18"/>
    <mergeCell ref="A48:K48"/>
    <mergeCell ref="A3:K3"/>
    <mergeCell ref="A77:K77"/>
    <mergeCell ref="A55:K55"/>
    <mergeCell ref="A25:K25"/>
    <mergeCell ref="A81:K81"/>
    <mergeCell ref="A33:K33"/>
    <mergeCell ref="A63:K63"/>
    <mergeCell ref="A1:K1"/>
  </mergeCells>
  <dataValidations count="1">
    <dataValidation sqref="J3:J84" showDropDown="0" showInputMessage="0" showErrorMessage="0" allowBlank="1" promptTitle="备注" prompt="稳定 / 跳动 / 无(-1) / 无(-2) / 太近(-5) / 限流(-6) / 其他" type="list" errorStyle="warning">
      <formula1>"稳定,跳动,无(-1),无(-2),太近(-5),限流(-6),其他"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78" customWidth="1" min="4" max="4"/>
  </cols>
  <sheetData>
    <row r="1" ht="26" customHeight="1">
      <c r="A1" s="1" t="inlineStr">
        <is>
          <t>卷尺/目测的 3 个数（顺手填；探头偏移也能从记录表反算）</t>
        </is>
      </c>
    </row>
    <row r="2" ht="34" customHeight="1">
      <c r="A2" s="6" t="inlineStr">
        <is>
          <t>项</t>
        </is>
      </c>
      <c r="B2" s="6" t="inlineStr">
        <is>
          <t>数值</t>
        </is>
      </c>
      <c r="C2" s="6" t="inlineStr">
        <is>
          <t>单位</t>
        </is>
      </c>
      <c r="D2" s="6" t="inlineStr">
        <is>
          <t>怎么量</t>
        </is>
      </c>
    </row>
    <row r="3">
      <c r="A3" s="10" t="inlineStr">
        <is>
          <t>探头前端 → 车最前端</t>
        </is>
      </c>
      <c r="B3" s="11" t="n"/>
      <c r="C3" s="9" t="inlineStr">
        <is>
          <t>mm</t>
        </is>
      </c>
      <c r="D3" s="10" t="inlineStr">
        <is>
          <t>卷尺从车最前端量到超声探头的前表面（两侧各量一次取平均）</t>
        </is>
      </c>
    </row>
    <row r="4">
      <c r="A4" s="10" t="inlineStr">
        <is>
          <t>探头离地高度</t>
        </is>
      </c>
      <c r="B4" s="11" t="n"/>
      <c r="C4" s="9" t="inlineStr">
        <is>
          <t>mm</t>
        </is>
      </c>
      <c r="D4" s="10" t="inlineStr">
        <is>
          <t>车放地面/桌面上，量探头中心离地高度（判断障碍物要多高才挡得住）</t>
        </is>
      </c>
    </row>
    <row r="5">
      <c r="A5" s="10" t="inlineStr">
        <is>
          <t>循迹线宽</t>
        </is>
      </c>
      <c r="B5" s="11" t="n"/>
      <c r="C5" s="9" t="inlineStr">
        <is>
          <t>mm</t>
        </is>
      </c>
      <c r="D5" s="10" t="inlineStr">
        <is>
          <t>量赛道上黑线宽度（确认是否 20mm，用于『贴线边』换算）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10" customWidth="1" min="4" max="4"/>
    <col width="24" customWidth="1" min="5" max="5"/>
    <col width="62" customWidth="1" min="6" max="6"/>
  </cols>
  <sheetData>
    <row r="1" ht="26" customHeight="1">
      <c r="A1" s="1" t="inlineStr">
        <is>
          <t>目标值 —— 现场不用填，组长/AI 从「记录表」算出来写这里</t>
        </is>
      </c>
    </row>
    <row r="2" ht="34" customHeight="1">
      <c r="A2" s="6" t="inlineStr">
        <is>
          <t>目标</t>
        </is>
      </c>
      <c r="B2" s="6" t="inlineStr">
        <is>
          <t>结果</t>
        </is>
      </c>
      <c r="C2" s="6" t="inlineStr">
        <is>
          <t>单位</t>
        </is>
      </c>
      <c r="D2" s="6" t="inlineStr">
        <is>
          <t>置信度</t>
        </is>
      </c>
      <c r="E2" s="6" t="inlineStr">
        <is>
          <t>依据（记录表行号）</t>
        </is>
      </c>
      <c r="F2" s="6" t="inlineStr">
        <is>
          <t>备注</t>
        </is>
      </c>
    </row>
    <row r="3">
      <c r="A3" s="10" t="inlineStr">
        <is>
          <t>右侧探头 · 首次检出距离</t>
        </is>
      </c>
      <c r="B3" s="11" t="n"/>
      <c r="C3" s="9" t="inlineStr">
        <is>
          <t>mm</t>
        </is>
      </c>
      <c r="D3" s="9" t="inlineStr"/>
      <c r="E3" s="9" t="inlineStr"/>
      <c r="F3" s="10" t="inlineStr">
        <is>
          <t>贴线边小障碍：第一次出现有效读数的那个 X</t>
        </is>
      </c>
    </row>
    <row r="4">
      <c r="A4" s="10" t="inlineStr">
        <is>
          <t>左侧探头 · 首次检出距离</t>
        </is>
      </c>
      <c r="B4" s="11" t="n"/>
      <c r="C4" s="9" t="inlineStr">
        <is>
          <t>mm</t>
        </is>
      </c>
      <c r="D4" s="9" t="inlineStr"/>
      <c r="E4" s="9" t="inlineStr"/>
      <c r="F4" s="10" t="inlineStr">
        <is>
          <t>同上，左侧</t>
        </is>
      </c>
    </row>
    <row r="5">
      <c r="A5" s="10" t="inlineStr">
        <is>
          <t>最近可测距离</t>
        </is>
      </c>
      <c r="B5" s="11" t="n"/>
      <c r="C5" s="9" t="inlineStr">
        <is>
          <t>mm</t>
        </is>
      </c>
      <c r="D5" s="9" t="inlineStr"/>
      <c r="E5" s="9" t="inlineStr"/>
      <c r="F5" s="10" t="inlineStr">
        <is>
          <t>再往近就掉读数/报 -1、-2 的那个 X</t>
        </is>
      </c>
    </row>
    <row r="6">
      <c r="A6" s="10" t="inlineStr">
        <is>
          <t>中央盲区（Y=0 处是否可见）</t>
        </is>
      </c>
      <c r="B6" s="11" t="n"/>
      <c r="C6" s="9" t="inlineStr"/>
      <c r="D6" s="9" t="inlineStr"/>
      <c r="E6" s="9" t="inlineStr"/>
      <c r="F6" s="10" t="inlineStr">
        <is>
          <t>应『可见』；不可见说明 15° 改装没达到目的</t>
        </is>
      </c>
    </row>
    <row r="7">
      <c r="A7" s="10" t="inlineStr">
        <is>
          <t>横向覆盖（单侧可测范围）</t>
        </is>
      </c>
      <c r="B7" s="11" t="n"/>
      <c r="C7" s="9" t="inlineStr">
        <is>
          <t>mm</t>
        </is>
      </c>
      <c r="D7" s="9" t="inlineStr"/>
      <c r="E7" s="9" t="inlineStr"/>
      <c r="F7" s="10" t="inlineStr">
        <is>
          <t>X=400 时 Y 从 0 到多少还能检测到</t>
        </is>
      </c>
    </row>
    <row r="8">
      <c r="A8" s="10" t="inlineStr">
        <is>
          <t>探头前端 → 车最前端偏移</t>
        </is>
      </c>
      <c r="B8" s="11" t="n"/>
      <c r="C8" s="9" t="inlineStr">
        <is>
          <t>mm</t>
        </is>
      </c>
      <c r="D8" s="9" t="inlineStr"/>
      <c r="E8" s="9" t="inlineStr"/>
      <c r="F8" s="10" t="inlineStr">
        <is>
          <t>手工量，或从『卷尺刻度 − 探头读数』反算</t>
        </is>
      </c>
    </row>
    <row r="9">
      <c r="A9" s="10" t="inlineStr">
        <is>
          <t>大障碍（150×100）首次检出距离</t>
        </is>
      </c>
      <c r="B9" s="11" t="n"/>
      <c r="C9" s="9" t="inlineStr">
        <is>
          <t>mm</t>
        </is>
      </c>
      <c r="D9" s="9" t="inlineStr"/>
      <c r="E9" s="9" t="inlineStr"/>
      <c r="F9" s="10" t="inlineStr">
        <is>
          <t>与小障碍对比 ⇒ 反推探头方位覆盖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2026-10-14T06:01:45Z</dcterms:created>
  <dcterms:modified xmlns:dcterms="http://purl.org/dc/terms/" xmlns:xsi="http://www.w3.org/2001/XMLSchema-instance" xsi:type="dcterms:W3CDTF">2026-10-14T06:01:45Z</dcterms:modified>
</cp:coreProperties>
</file>